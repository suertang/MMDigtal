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Local Disk D_2172022933\Downloads\"/>
    </mc:Choice>
  </mc:AlternateContent>
  <bookViews>
    <workbookView xWindow="0" yWindow="0" windowWidth="28800" windowHeight="12210" tabRatio="861"/>
  </bookViews>
  <sheets>
    <sheet name="VBA" sheetId="53" r:id="rId1"/>
  </sheets>
  <functionGroups builtInGroupCount="18"/>
  <calcPr calcId="162913"/>
</workbook>
</file>

<file path=xl/calcChain.xml><?xml version="1.0" encoding="utf-8"?>
<calcChain xmlns="http://schemas.openxmlformats.org/spreadsheetml/2006/main">
  <c r="K12" i="53" l="1"/>
  <c r="K13" i="53"/>
  <c r="K14" i="53"/>
  <c r="K15" i="53"/>
  <c r="K16" i="53"/>
  <c r="K17" i="53"/>
  <c r="K18" i="53"/>
  <c r="K19" i="53"/>
  <c r="K20" i="53"/>
  <c r="K21" i="53"/>
  <c r="K22" i="53"/>
  <c r="K23" i="53"/>
  <c r="K24" i="53"/>
  <c r="K6" i="53"/>
  <c r="K7" i="53"/>
  <c r="K8" i="53"/>
  <c r="K9" i="53"/>
  <c r="K10" i="53"/>
  <c r="K11" i="53"/>
  <c r="I16" i="53" l="1"/>
  <c r="J16" i="53" s="1"/>
  <c r="I17" i="53"/>
  <c r="J17" i="53"/>
  <c r="I18" i="53"/>
  <c r="J18" i="53"/>
  <c r="I19" i="53"/>
  <c r="J19" i="53"/>
  <c r="I20" i="53"/>
  <c r="J20" i="53"/>
  <c r="I21" i="53"/>
  <c r="J21" i="53"/>
  <c r="I22" i="53"/>
  <c r="J22" i="53"/>
  <c r="I23" i="53"/>
  <c r="J23" i="53"/>
  <c r="I24" i="53"/>
  <c r="J24" i="53"/>
  <c r="I7" i="53"/>
  <c r="J7" i="53" s="1"/>
  <c r="I8" i="53"/>
  <c r="J8" i="53" s="1"/>
  <c r="I9" i="53"/>
  <c r="J9" i="53" s="1"/>
  <c r="I10" i="53"/>
  <c r="J10" i="53" s="1"/>
  <c r="I11" i="53"/>
  <c r="J11" i="53" s="1"/>
  <c r="I12" i="53"/>
  <c r="J12" i="53" s="1"/>
  <c r="I13" i="53"/>
  <c r="J13" i="53" s="1"/>
  <c r="I14" i="53"/>
  <c r="J14" i="53" s="1"/>
  <c r="I15" i="53"/>
  <c r="J15" i="53" s="1"/>
  <c r="I6" i="53"/>
  <c r="J6" i="53" s="1"/>
</calcChain>
</file>

<file path=xl/sharedStrings.xml><?xml version="1.0" encoding="utf-8"?>
<sst xmlns="http://schemas.openxmlformats.org/spreadsheetml/2006/main" count="26" uniqueCount="26">
  <si>
    <t>当前价</t>
    <phoneticPr fontId="1" type="noConversion"/>
  </si>
  <si>
    <t>昨收盘</t>
    <phoneticPr fontId="1" type="noConversion"/>
  </si>
  <si>
    <t>涨跌</t>
    <phoneticPr fontId="1" type="noConversion"/>
  </si>
  <si>
    <t>涨跌幅度</t>
    <phoneticPr fontId="1" type="noConversion"/>
  </si>
  <si>
    <t>最后更新</t>
  </si>
  <si>
    <t>最高</t>
    <phoneticPr fontId="1" type="noConversion"/>
  </si>
  <si>
    <t>最低</t>
    <phoneticPr fontId="1" type="noConversion"/>
  </si>
  <si>
    <t>输入代码</t>
    <phoneticPr fontId="1" type="noConversion"/>
  </si>
  <si>
    <t>股票名称</t>
    <phoneticPr fontId="1" type="noConversion"/>
  </si>
  <si>
    <t>sh000001</t>
    <phoneticPr fontId="1" type="noConversion"/>
  </si>
  <si>
    <t>sz399001</t>
    <phoneticPr fontId="1" type="noConversion"/>
  </si>
  <si>
    <t>作者</t>
    <phoneticPr fontId="1" type="noConversion"/>
  </si>
  <si>
    <t>股票看盘器</t>
    <phoneticPr fontId="1" type="noConversion"/>
  </si>
  <si>
    <t>suertang</t>
    <phoneticPr fontId="1" type="noConversion"/>
  </si>
  <si>
    <t>上证指数</t>
  </si>
  <si>
    <t>深证成指</t>
  </si>
  <si>
    <t>持仓</t>
    <phoneticPr fontId="1" type="noConversion"/>
  </si>
  <si>
    <t>成本</t>
    <phoneticPr fontId="1" type="noConversion"/>
  </si>
  <si>
    <t>盈亏(~5%跑路费）</t>
    <phoneticPr fontId="1" type="noConversion"/>
  </si>
  <si>
    <t>是否成交</t>
    <phoneticPr fontId="1" type="noConversion"/>
  </si>
  <si>
    <t>挂单（卖）</t>
    <phoneticPr fontId="1" type="noConversion"/>
  </si>
  <si>
    <t>振幅</t>
    <phoneticPr fontId="1" type="noConversion"/>
  </si>
  <si>
    <t>sz002164</t>
    <phoneticPr fontId="1" type="noConversion"/>
  </si>
  <si>
    <t>sz002561</t>
    <phoneticPr fontId="1" type="noConversion"/>
  </si>
  <si>
    <t>宁波东力</t>
  </si>
  <si>
    <t>徐家汇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</si>
</sst>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2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2"/>
      <name val="Microsoft YaHei"/>
      <family val="2"/>
    </font>
    <font>
      <b/>
      <sz val="12"/>
      <name val="Microsoft YaHei"/>
      <family val="2"/>
    </font>
    <font>
      <sz val="12"/>
      <name val="微软雅黑"/>
      <family val="2"/>
      <charset val="134"/>
    </font>
    <font>
      <sz val="11"/>
      <color theme="1"/>
      <name val="宋体"/>
      <charset val="134"/>
      <scheme val="minor"/>
    </font>
    <font>
      <u/>
      <sz val="12"/>
      <color theme="10"/>
      <name val="宋体"/>
      <charset val="134"/>
    </font>
    <font>
      <u/>
      <sz val="12"/>
      <color theme="10"/>
      <name val="微软雅黑"/>
      <family val="2"/>
      <charset val="134"/>
    </font>
    <font>
      <sz val="12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3" fillId="0" borderId="1" xfId="0" applyFont="1" applyFill="1" applyBorder="1">
      <alignment vertical="center"/>
    </xf>
    <xf numFmtId="0" fontId="5" fillId="0" borderId="0" xfId="0" applyFont="1">
      <alignment vertical="center"/>
    </xf>
    <xf numFmtId="0" fontId="8" fillId="0" borderId="0" xfId="3" applyFont="1">
      <alignment vertical="center"/>
    </xf>
    <xf numFmtId="0" fontId="4" fillId="0" borderId="1" xfId="0" applyFont="1" applyBorder="1" applyProtection="1">
      <alignment vertical="center"/>
    </xf>
    <xf numFmtId="10" fontId="4" fillId="0" borderId="1" xfId="1" applyNumberFormat="1" applyFont="1" applyBorder="1" applyProtection="1">
      <alignment vertical="center"/>
    </xf>
    <xf numFmtId="0" fontId="3" fillId="2" borderId="1" xfId="0" applyFont="1" applyFill="1" applyBorder="1" applyProtection="1">
      <alignment vertical="center"/>
      <protection locked="0"/>
    </xf>
    <xf numFmtId="0" fontId="5" fillId="0" borderId="1" xfId="0" applyFont="1" applyBorder="1">
      <alignment vertical="center"/>
    </xf>
    <xf numFmtId="21" fontId="5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0" fontId="3" fillId="0" borderId="2" xfId="0" applyFont="1" applyFill="1" applyBorder="1">
      <alignment vertical="center"/>
    </xf>
    <xf numFmtId="0" fontId="3" fillId="0" borderId="2" xfId="0" applyFont="1" applyBorder="1">
      <alignment vertical="center"/>
    </xf>
    <xf numFmtId="10" fontId="4" fillId="0" borderId="0" xfId="1" applyNumberFormat="1" applyFont="1" applyBorder="1" applyProtection="1">
      <alignment vertical="center"/>
    </xf>
  </cellXfs>
  <cellStyles count="4">
    <cellStyle name="百分比" xfId="1" builtinId="5"/>
    <cellStyle name="常规" xfId="0" builtinId="0"/>
    <cellStyle name="常规 2" xfId="2"/>
    <cellStyle name="超链接" xfId="3" builtinId="8"/>
  </cellStyles>
  <dxfs count="4"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F0000"/>
      </font>
      <fill>
        <patternFill patternType="none">
          <bgColor indexed="65"/>
        </patternFill>
      </fill>
    </dxf>
    <dxf>
      <font>
        <color rgb="FF00B050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2</xdr:row>
          <xdr:rowOff>9525</xdr:rowOff>
        </xdr:from>
        <xdr:to>
          <xdr:col>3</xdr:col>
          <xdr:colOff>180975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强制刷新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1000125</xdr:colOff>
          <xdr:row>2</xdr:row>
          <xdr:rowOff>9525</xdr:rowOff>
        </xdr:from>
        <xdr:to>
          <xdr:col>1</xdr:col>
          <xdr:colOff>762000</xdr:colOff>
          <xdr:row>3</xdr:row>
          <xdr:rowOff>76200</xdr:rowOff>
        </xdr:to>
        <xdr:sp macro="" textlink="">
          <xdr:nvSpPr>
            <xdr:cNvPr id="1028" name="Toggle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uertang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P24"/>
  <sheetViews>
    <sheetView tabSelected="1" workbookViewId="0">
      <selection activeCell="K12" sqref="K12"/>
    </sheetView>
  </sheetViews>
  <sheetFormatPr defaultRowHeight="14.25"/>
  <cols>
    <col min="1" max="1" width="13.25" customWidth="1"/>
    <col min="2" max="2" width="10.25" customWidth="1"/>
    <col min="3" max="3" width="9.5" bestFit="1" customWidth="1"/>
    <col min="4" max="4" width="9.25" bestFit="1" customWidth="1"/>
    <col min="5" max="5" width="9.875" bestFit="1" customWidth="1"/>
    <col min="6" max="6" width="9.25" bestFit="1" customWidth="1"/>
    <col min="7" max="8" width="9.125" bestFit="1" customWidth="1"/>
    <col min="14" max="14" width="19.5" customWidth="1"/>
  </cols>
  <sheetData>
    <row r="2" spans="2:16" ht="17.25">
      <c r="E2" s="3" t="s">
        <v>12</v>
      </c>
    </row>
    <row r="3" spans="2:16" ht="17.25">
      <c r="F3" s="3" t="s">
        <v>11</v>
      </c>
      <c r="G3" s="4" t="s">
        <v>13</v>
      </c>
    </row>
    <row r="5" spans="2:16" ht="17.25">
      <c r="B5" s="1" t="s">
        <v>7</v>
      </c>
      <c r="C5" s="1" t="s">
        <v>8</v>
      </c>
      <c r="D5" s="1" t="s">
        <v>0</v>
      </c>
      <c r="E5" s="1" t="s">
        <v>1</v>
      </c>
      <c r="F5" s="2" t="s">
        <v>4</v>
      </c>
      <c r="G5" s="2" t="s">
        <v>5</v>
      </c>
      <c r="H5" s="2" t="s">
        <v>6</v>
      </c>
      <c r="I5" s="1" t="s">
        <v>2</v>
      </c>
      <c r="J5" s="1" t="s">
        <v>3</v>
      </c>
      <c r="K5" s="12" t="s">
        <v>21</v>
      </c>
      <c r="L5" s="11" t="s">
        <v>16</v>
      </c>
      <c r="M5" s="11" t="s">
        <v>17</v>
      </c>
      <c r="N5" s="11" t="s">
        <v>18</v>
      </c>
      <c r="O5" s="11" t="s">
        <v>20</v>
      </c>
      <c r="P5" s="11" t="s">
        <v>19</v>
      </c>
    </row>
    <row r="6" spans="2:16" ht="18">
      <c r="B6" s="7" t="s">
        <v>9</v>
      </c>
      <c r="C6" s="8" t="s">
        <v>14</v>
      </c>
      <c r="D6" s="8">
        <v>2960.9458</v>
      </c>
      <c r="E6" s="8">
        <v>2962.2761999999998</v>
      </c>
      <c r="F6" s="9">
        <v>0.43373842592592587</v>
      </c>
      <c r="G6" s="8">
        <v>2971.2833999999998</v>
      </c>
      <c r="H6" s="8">
        <v>2955.9050000000002</v>
      </c>
      <c r="I6" s="5">
        <f t="shared" ref="I6:I15" si="0">IF(D6,D6-E6,"")</f>
        <v>-1.3303999999998268</v>
      </c>
      <c r="J6" s="6">
        <f t="shared" ref="J6:J15" si="1">IF(D6,I6/E6,"")</f>
        <v>-4.491140967880804E-4</v>
      </c>
      <c r="K6" s="13">
        <f t="shared" ref="K6:K10" si="2">IFERROR((G6-H6)/E6*100%,"")</f>
        <v>5.1914132787481476E-3</v>
      </c>
    </row>
    <row r="7" spans="2:16" ht="18">
      <c r="B7" s="7" t="s">
        <v>10</v>
      </c>
      <c r="C7" s="8" t="s">
        <v>15</v>
      </c>
      <c r="D7" s="8">
        <v>9348.6460000000006</v>
      </c>
      <c r="E7" s="8">
        <v>9401.348</v>
      </c>
      <c r="F7" s="9">
        <v>0.43375000000000002</v>
      </c>
      <c r="G7" s="8">
        <v>9405.09</v>
      </c>
      <c r="H7" s="8">
        <v>9338.0669999999991</v>
      </c>
      <c r="I7" s="5">
        <f t="shared" si="0"/>
        <v>-52.701999999999316</v>
      </c>
      <c r="J7" s="6">
        <f t="shared" si="1"/>
        <v>-5.6057918502750159E-3</v>
      </c>
      <c r="K7" s="13">
        <f t="shared" si="2"/>
        <v>7.1290840419906852E-3</v>
      </c>
    </row>
    <row r="8" spans="2:16" ht="18">
      <c r="B8" s="7" t="s">
        <v>22</v>
      </c>
      <c r="C8" s="8" t="s">
        <v>24</v>
      </c>
      <c r="D8" s="8">
        <v>6.69</v>
      </c>
      <c r="E8" s="8">
        <v>7</v>
      </c>
      <c r="F8" s="9">
        <v>0.43375000000000002</v>
      </c>
      <c r="G8" s="8">
        <v>6.85</v>
      </c>
      <c r="H8" s="8">
        <v>6.61</v>
      </c>
      <c r="I8" s="5">
        <f t="shared" si="0"/>
        <v>-0.30999999999999961</v>
      </c>
      <c r="J8" s="6">
        <f t="shared" si="1"/>
        <v>-4.4285714285714227E-2</v>
      </c>
      <c r="K8" s="13">
        <f t="shared" si="2"/>
        <v>3.428571428571419E-2</v>
      </c>
    </row>
    <row r="9" spans="2:16" ht="18">
      <c r="B9" s="7" t="s">
        <v>23</v>
      </c>
      <c r="C9" s="8" t="s">
        <v>25</v>
      </c>
      <c r="D9" s="8">
        <v>10.7</v>
      </c>
      <c r="E9" s="8">
        <v>10.97</v>
      </c>
      <c r="F9" s="9">
        <v>0.43375000000000002</v>
      </c>
      <c r="G9" s="8">
        <v>10.85</v>
      </c>
      <c r="H9" s="8">
        <v>10.6</v>
      </c>
      <c r="I9" s="5">
        <f t="shared" si="0"/>
        <v>-0.27000000000000135</v>
      </c>
      <c r="J9" s="6">
        <f t="shared" si="1"/>
        <v>-2.4612579762990094E-2</v>
      </c>
      <c r="K9" s="13">
        <f t="shared" si="2"/>
        <v>2.2789425706472195E-2</v>
      </c>
    </row>
    <row r="10" spans="2:16" ht="18">
      <c r="B10" s="7"/>
      <c r="C10" s="8"/>
      <c r="D10" s="8"/>
      <c r="E10" s="8"/>
      <c r="F10" s="9"/>
      <c r="G10" s="8"/>
      <c r="H10" s="8"/>
      <c r="I10" s="5" t="str">
        <f t="shared" si="0"/>
        <v/>
      </c>
      <c r="J10" s="6" t="str">
        <f t="shared" si="1"/>
        <v/>
      </c>
      <c r="K10" s="13" t="str">
        <f t="shared" si="2"/>
        <v/>
      </c>
    </row>
    <row r="11" spans="2:16" ht="18">
      <c r="B11" s="7"/>
      <c r="C11" s="8"/>
      <c r="D11" s="8"/>
      <c r="E11" s="8"/>
      <c r="F11" s="9"/>
      <c r="G11" s="8"/>
      <c r="H11" s="8"/>
      <c r="I11" s="5" t="str">
        <f t="shared" si="0"/>
        <v/>
      </c>
      <c r="J11" s="6" t="str">
        <f t="shared" si="1"/>
        <v/>
      </c>
      <c r="K11" s="13" t="str">
        <f>IFERROR((G11-H11)/E11*100%,"")</f>
        <v/>
      </c>
    </row>
    <row r="12" spans="2:16" ht="18">
      <c r="B12" s="7"/>
      <c r="C12" s="8"/>
      <c r="D12" s="8"/>
      <c r="E12" s="8"/>
      <c r="F12" s="9"/>
      <c r="G12" s="8"/>
      <c r="H12" s="8"/>
      <c r="I12" s="5" t="str">
        <f t="shared" si="0"/>
        <v/>
      </c>
      <c r="J12" s="6" t="str">
        <f t="shared" si="1"/>
        <v/>
      </c>
      <c r="K12" s="13" t="str">
        <f t="shared" ref="K12:K24" si="3">IFERROR((G12-H12)/E12*100%,"")</f>
        <v/>
      </c>
    </row>
    <row r="13" spans="2:16" ht="18">
      <c r="B13" s="7"/>
      <c r="C13" s="8"/>
      <c r="D13" s="8"/>
      <c r="E13" s="8"/>
      <c r="F13" s="9"/>
      <c r="G13" s="8"/>
      <c r="H13" s="8"/>
      <c r="I13" s="5" t="str">
        <f t="shared" si="0"/>
        <v/>
      </c>
      <c r="J13" s="6" t="str">
        <f t="shared" si="1"/>
        <v/>
      </c>
      <c r="K13" s="13" t="str">
        <f t="shared" si="3"/>
        <v/>
      </c>
    </row>
    <row r="14" spans="2:16" ht="18">
      <c r="B14" s="7"/>
      <c r="C14" s="8"/>
      <c r="D14" s="8"/>
      <c r="E14" s="8"/>
      <c r="F14" s="9"/>
      <c r="G14" s="8"/>
      <c r="H14" s="8"/>
      <c r="I14" s="5" t="str">
        <f t="shared" si="0"/>
        <v/>
      </c>
      <c r="J14" s="6" t="str">
        <f t="shared" si="1"/>
        <v/>
      </c>
      <c r="K14" s="13" t="str">
        <f t="shared" si="3"/>
        <v/>
      </c>
    </row>
    <row r="15" spans="2:16" ht="18">
      <c r="B15" s="7"/>
      <c r="C15" s="8"/>
      <c r="D15" s="8"/>
      <c r="E15" s="8"/>
      <c r="F15" s="9"/>
      <c r="G15" s="8"/>
      <c r="H15" s="8"/>
      <c r="I15" s="5" t="str">
        <f t="shared" si="0"/>
        <v/>
      </c>
      <c r="J15" s="6" t="str">
        <f t="shared" si="1"/>
        <v/>
      </c>
      <c r="K15" s="13" t="str">
        <f t="shared" si="3"/>
        <v/>
      </c>
    </row>
    <row r="16" spans="2:16" ht="18">
      <c r="B16" s="7"/>
      <c r="C16" s="8"/>
      <c r="D16" s="8"/>
      <c r="E16" s="8"/>
      <c r="F16" s="9"/>
      <c r="G16" s="8"/>
      <c r="H16" s="8"/>
      <c r="I16" s="5" t="str">
        <f t="shared" ref="I16:I24" si="4">IF(D16,D16-E16,"")</f>
        <v/>
      </c>
      <c r="J16" s="6" t="str">
        <f t="shared" ref="J16:J24" si="5">IF(D16,I16/E16,"")</f>
        <v/>
      </c>
      <c r="K16" s="13" t="str">
        <f t="shared" si="3"/>
        <v/>
      </c>
    </row>
    <row r="17" spans="2:11" ht="18">
      <c r="B17" s="7"/>
      <c r="C17" s="10"/>
      <c r="D17" s="10"/>
      <c r="E17" s="10"/>
      <c r="F17" s="10"/>
      <c r="G17" s="10"/>
      <c r="H17" s="10"/>
      <c r="I17" s="5" t="str">
        <f t="shared" si="4"/>
        <v/>
      </c>
      <c r="J17" s="6" t="str">
        <f t="shared" si="5"/>
        <v/>
      </c>
      <c r="K17" s="13" t="str">
        <f t="shared" si="3"/>
        <v/>
      </c>
    </row>
    <row r="18" spans="2:11" ht="18">
      <c r="B18" s="7"/>
      <c r="C18" s="10"/>
      <c r="D18" s="10"/>
      <c r="E18" s="10"/>
      <c r="F18" s="10"/>
      <c r="G18" s="10"/>
      <c r="H18" s="10"/>
      <c r="I18" s="5" t="str">
        <f t="shared" si="4"/>
        <v/>
      </c>
      <c r="J18" s="6" t="str">
        <f t="shared" si="5"/>
        <v/>
      </c>
      <c r="K18" s="13" t="str">
        <f t="shared" si="3"/>
        <v/>
      </c>
    </row>
    <row r="19" spans="2:11" ht="18">
      <c r="B19" s="7"/>
      <c r="C19" s="10"/>
      <c r="D19" s="10"/>
      <c r="E19" s="10"/>
      <c r="F19" s="10"/>
      <c r="G19" s="10"/>
      <c r="H19" s="10"/>
      <c r="I19" s="5" t="str">
        <f t="shared" si="4"/>
        <v/>
      </c>
      <c r="J19" s="6" t="str">
        <f t="shared" si="5"/>
        <v/>
      </c>
      <c r="K19" s="13" t="str">
        <f t="shared" si="3"/>
        <v/>
      </c>
    </row>
    <row r="20" spans="2:11" ht="18">
      <c r="B20" s="7"/>
      <c r="C20" s="10"/>
      <c r="D20" s="10"/>
      <c r="E20" s="10"/>
      <c r="F20" s="10"/>
      <c r="G20" s="10"/>
      <c r="H20" s="10"/>
      <c r="I20" s="5" t="str">
        <f t="shared" si="4"/>
        <v/>
      </c>
      <c r="J20" s="6" t="str">
        <f t="shared" si="5"/>
        <v/>
      </c>
      <c r="K20" s="13" t="str">
        <f t="shared" si="3"/>
        <v/>
      </c>
    </row>
    <row r="21" spans="2:11" ht="18">
      <c r="B21" s="7"/>
      <c r="C21" s="10"/>
      <c r="D21" s="10"/>
      <c r="E21" s="10"/>
      <c r="F21" s="10"/>
      <c r="G21" s="10"/>
      <c r="H21" s="10"/>
      <c r="I21" s="5" t="str">
        <f t="shared" si="4"/>
        <v/>
      </c>
      <c r="J21" s="6" t="str">
        <f t="shared" si="5"/>
        <v/>
      </c>
      <c r="K21" s="13" t="str">
        <f t="shared" si="3"/>
        <v/>
      </c>
    </row>
    <row r="22" spans="2:11" ht="18">
      <c r="B22" s="7"/>
      <c r="C22" s="10"/>
      <c r="D22" s="10"/>
      <c r="E22" s="10"/>
      <c r="F22" s="10"/>
      <c r="G22" s="10"/>
      <c r="H22" s="10"/>
      <c r="I22" s="5" t="str">
        <f t="shared" si="4"/>
        <v/>
      </c>
      <c r="J22" s="6" t="str">
        <f t="shared" si="5"/>
        <v/>
      </c>
      <c r="K22" s="13" t="str">
        <f t="shared" si="3"/>
        <v/>
      </c>
    </row>
    <row r="23" spans="2:11" ht="18">
      <c r="B23" s="7"/>
      <c r="C23" s="10"/>
      <c r="D23" s="10"/>
      <c r="E23" s="10"/>
      <c r="F23" s="10"/>
      <c r="G23" s="10"/>
      <c r="H23" s="10"/>
      <c r="I23" s="5" t="str">
        <f t="shared" si="4"/>
        <v/>
      </c>
      <c r="J23" s="6" t="str">
        <f t="shared" si="5"/>
        <v/>
      </c>
      <c r="K23" s="13" t="str">
        <f t="shared" si="3"/>
        <v/>
      </c>
    </row>
    <row r="24" spans="2:11" ht="18">
      <c r="B24" s="7"/>
      <c r="C24" s="10"/>
      <c r="D24" s="10"/>
      <c r="E24" s="10"/>
      <c r="F24" s="10"/>
      <c r="G24" s="10"/>
      <c r="H24" s="10"/>
      <c r="I24" s="5" t="str">
        <f t="shared" si="4"/>
        <v/>
      </c>
      <c r="J24" s="6" t="str">
        <f t="shared" si="5"/>
        <v/>
      </c>
      <c r="K24" s="13" t="str">
        <f t="shared" si="3"/>
        <v/>
      </c>
    </row>
  </sheetData>
  <sheetProtection selectLockedCells="1"/>
  <phoneticPr fontId="1" type="noConversion"/>
  <conditionalFormatting sqref="I6:J24">
    <cfRule type="expression" dxfId="3" priority="11" stopIfTrue="1">
      <formula>$I6&lt;0</formula>
    </cfRule>
    <cfRule type="expression" dxfId="2" priority="12" stopIfTrue="1">
      <formula>$I6&gt;0</formula>
    </cfRule>
  </conditionalFormatting>
  <conditionalFormatting sqref="G6:H9">
    <cfRule type="cellIs" dxfId="1" priority="2" operator="greaterThan">
      <formula>$E$6</formula>
    </cfRule>
    <cfRule type="cellIs" dxfId="0" priority="1" operator="lessThan">
      <formula>$E$6</formula>
    </cfRule>
  </conditionalFormatting>
  <hyperlinks>
    <hyperlink ref="G3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8" r:id="rId5" name="ToggleButton1">
          <controlPr defaultSize="0" autoLine="0" r:id="rId6">
            <anchor moveWithCells="1">
              <from>
                <xdr:col>0</xdr:col>
                <xdr:colOff>1000125</xdr:colOff>
                <xdr:row>2</xdr:row>
                <xdr:rowOff>9525</xdr:rowOff>
              </from>
              <to>
                <xdr:col>1</xdr:col>
                <xdr:colOff>762000</xdr:colOff>
                <xdr:row>3</xdr:row>
                <xdr:rowOff>76200</xdr:rowOff>
              </to>
            </anchor>
          </controlPr>
        </control>
      </mc:Choice>
      <mc:Fallback>
        <control shapeId="1028" r:id="rId5" name="ToggleButton1"/>
      </mc:Fallback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geturl">
            <anchor moveWithCells="1" sizeWithCells="1">
              <from>
                <xdr:col>2</xdr:col>
                <xdr:colOff>104775</xdr:colOff>
                <xdr:row>2</xdr:row>
                <xdr:rowOff>9525</xdr:rowOff>
              </from>
              <to>
                <xdr:col>3</xdr:col>
                <xdr:colOff>180975</xdr:colOff>
                <xdr:row>3</xdr:row>
                <xdr:rowOff>85725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VBA</vt:lpstr>
    </vt:vector>
  </TitlesOfParts>
  <Manager/>
  <Company>MC SYSTEM</Company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Tang Zhongji</dc:creator>
  <cp:keywords/>
  <dc:description/>
  <cp:lastModifiedBy>tangzhj</cp:lastModifiedBy>
  <cp:revision/>
  <cp:lastPrinted>2017-07-14T08:04:40Z</cp:lastPrinted>
  <dcterms:created xsi:type="dcterms:W3CDTF">2014-01-08T04:11:53Z</dcterms:created>
  <dcterms:modified xsi:type="dcterms:W3CDTF">2024-01-03T02:24:42Z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2052-10.1.0.6028</vt:lpwstr>
  </property>
</Properties>
</file>