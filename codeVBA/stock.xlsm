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zjjj\Desktop\"/>
    </mc:Choice>
  </mc:AlternateContent>
  <bookViews>
    <workbookView xWindow="-15" yWindow="-15" windowWidth="13695" windowHeight="6765" tabRatio="861"/>
  </bookViews>
  <sheets>
    <sheet name="VBA" sheetId="53" r:id="rId1"/>
  </sheets>
  <functionGroups builtInGroupCount="18"/>
  <calcPr calcId="162913"/>
</workbook>
</file>

<file path=xl/calcChain.xml><?xml version="1.0" encoding="utf-8"?>
<calcChain xmlns="http://schemas.openxmlformats.org/spreadsheetml/2006/main">
  <c r="K14" i="53" l="1"/>
  <c r="N11" i="53"/>
  <c r="K7" i="53"/>
  <c r="K8" i="53"/>
  <c r="K9" i="53"/>
  <c r="K10" i="53"/>
  <c r="K11" i="53"/>
  <c r="K12" i="53"/>
  <c r="K13" i="53"/>
  <c r="K6" i="53"/>
  <c r="P12" i="53"/>
  <c r="N12" i="53"/>
  <c r="I16" i="53"/>
  <c r="J16" i="53"/>
  <c r="I17" i="53"/>
  <c r="J17" i="53"/>
  <c r="I18" i="53"/>
  <c r="J18" i="53"/>
  <c r="I19" i="53"/>
  <c r="J19" i="53"/>
  <c r="I20" i="53"/>
  <c r="J20" i="53"/>
  <c r="I21" i="53"/>
  <c r="J21" i="53"/>
  <c r="I22" i="53"/>
  <c r="J22" i="53"/>
  <c r="I23" i="53"/>
  <c r="J23" i="53"/>
  <c r="I24" i="53"/>
  <c r="J24" i="53"/>
  <c r="I7" i="53"/>
  <c r="J7" i="53"/>
  <c r="I8" i="53"/>
  <c r="J8" i="53"/>
  <c r="I9" i="53"/>
  <c r="J9" i="53"/>
  <c r="I10" i="53"/>
  <c r="J10" i="53"/>
  <c r="I11" i="53"/>
  <c r="J11" i="53"/>
  <c r="I12" i="53"/>
  <c r="J12" i="53"/>
  <c r="I13" i="53"/>
  <c r="J13" i="53"/>
  <c r="I14" i="53"/>
  <c r="J14" i="53"/>
  <c r="I15" i="53"/>
  <c r="J15" i="53"/>
  <c r="I6" i="53"/>
  <c r="J6" i="53"/>
</calcChain>
</file>

<file path=xl/sharedStrings.xml><?xml version="1.0" encoding="utf-8"?>
<sst xmlns="http://schemas.openxmlformats.org/spreadsheetml/2006/main" count="36" uniqueCount="36">
  <si>
    <t>当前价</t>
    <phoneticPr fontId="1" type="noConversion"/>
  </si>
  <si>
    <t>昨收盘</t>
    <phoneticPr fontId="1" type="noConversion"/>
  </si>
  <si>
    <t>涨跌</t>
    <phoneticPr fontId="1" type="noConversion"/>
  </si>
  <si>
    <t>涨跌幅度</t>
    <phoneticPr fontId="1" type="noConversion"/>
  </si>
  <si>
    <t>最后更新</t>
  </si>
  <si>
    <t>最高</t>
    <phoneticPr fontId="1" type="noConversion"/>
  </si>
  <si>
    <t>最低</t>
    <phoneticPr fontId="1" type="noConversion"/>
  </si>
  <si>
    <t>输入代码</t>
    <phoneticPr fontId="1" type="noConversion"/>
  </si>
  <si>
    <t>股票名称</t>
    <phoneticPr fontId="1" type="noConversion"/>
  </si>
  <si>
    <t>sh000001</t>
    <phoneticPr fontId="1" type="noConversion"/>
  </si>
  <si>
    <t>sz399001</t>
    <phoneticPr fontId="1" type="noConversion"/>
  </si>
  <si>
    <t>sh600127</t>
    <phoneticPr fontId="1" type="noConversion"/>
  </si>
  <si>
    <t>作者</t>
    <phoneticPr fontId="1" type="noConversion"/>
  </si>
  <si>
    <t>股票看盘器</t>
    <phoneticPr fontId="1" type="noConversion"/>
  </si>
  <si>
    <t>suertang</t>
    <phoneticPr fontId="1" type="noConversion"/>
  </si>
  <si>
    <t>上证指数</t>
  </si>
  <si>
    <t>深证成指</t>
  </si>
  <si>
    <t>金健米业</t>
  </si>
  <si>
    <t>sh510050</t>
    <phoneticPr fontId="1" type="noConversion"/>
  </si>
  <si>
    <t>sh512880</t>
    <phoneticPr fontId="1" type="noConversion"/>
  </si>
  <si>
    <t>50ETF</t>
  </si>
  <si>
    <t>证券ETF</t>
  </si>
  <si>
    <t>sz002100</t>
    <phoneticPr fontId="1" type="noConversion"/>
  </si>
  <si>
    <t>sz002463</t>
    <phoneticPr fontId="1" type="noConversion"/>
  </si>
  <si>
    <t>天康生物</t>
  </si>
  <si>
    <t>沪电股份</t>
  </si>
  <si>
    <t>sz300708</t>
    <phoneticPr fontId="1" type="noConversion"/>
  </si>
  <si>
    <t>聚灿光电</t>
  </si>
  <si>
    <t>持仓</t>
    <phoneticPr fontId="1" type="noConversion"/>
  </si>
  <si>
    <t>成本</t>
    <phoneticPr fontId="1" type="noConversion"/>
  </si>
  <si>
    <t>盈亏(~5%跑路费）</t>
    <phoneticPr fontId="1" type="noConversion"/>
  </si>
  <si>
    <t>是否成交</t>
    <phoneticPr fontId="1" type="noConversion"/>
  </si>
  <si>
    <t>挂单（卖）</t>
    <phoneticPr fontId="1" type="noConversion"/>
  </si>
  <si>
    <t>振幅</t>
    <phoneticPr fontId="1" type="noConversion"/>
  </si>
  <si>
    <t>sz300384</t>
    <phoneticPr fontId="1" type="noConversion"/>
  </si>
  <si>
    <t>三联虹普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</si>
</sst>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2"/>
      <name val="宋体"/>
      <charset val="134"/>
    </font>
    <font>
      <sz val="9"/>
      <name val="宋体"/>
      <charset val="134"/>
    </font>
    <font>
      <sz val="12"/>
      <name val="宋体"/>
      <charset val="134"/>
    </font>
    <font>
      <sz val="12"/>
      <name val="Microsoft YaHei"/>
      <family val="2"/>
    </font>
    <font>
      <b/>
      <sz val="12"/>
      <name val="Microsoft YaHei"/>
      <family val="2"/>
    </font>
    <font>
      <sz val="12"/>
      <name val="微软雅黑"/>
      <family val="2"/>
      <charset val="134"/>
    </font>
    <font>
      <sz val="11"/>
      <color theme="1"/>
      <name val="宋体"/>
      <charset val="134"/>
      <scheme val="minor"/>
    </font>
    <font>
      <u/>
      <sz val="12"/>
      <color theme="10"/>
      <name val="宋体"/>
      <charset val="134"/>
    </font>
    <font>
      <u/>
      <sz val="12"/>
      <color theme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3" fillId="0" borderId="1" xfId="0" applyFont="1" applyFill="1" applyBorder="1">
      <alignment vertical="center"/>
    </xf>
    <xf numFmtId="0" fontId="5" fillId="0" borderId="0" xfId="0" applyFont="1">
      <alignment vertical="center"/>
    </xf>
    <xf numFmtId="0" fontId="8" fillId="0" borderId="0" xfId="3" applyFont="1">
      <alignment vertical="center"/>
    </xf>
    <xf numFmtId="0" fontId="4" fillId="0" borderId="1" xfId="0" applyFont="1" applyBorder="1" applyProtection="1">
      <alignment vertical="center"/>
    </xf>
    <xf numFmtId="10" fontId="4" fillId="0" borderId="1" xfId="1" applyNumberFormat="1" applyFont="1" applyBorder="1" applyProtection="1">
      <alignment vertical="center"/>
    </xf>
    <xf numFmtId="0" fontId="3" fillId="2" borderId="1" xfId="0" applyFont="1" applyFill="1" applyBorder="1" applyProtection="1">
      <alignment vertical="center"/>
      <protection locked="0"/>
    </xf>
    <xf numFmtId="0" fontId="5" fillId="0" borderId="1" xfId="0" applyFont="1" applyBorder="1">
      <alignment vertical="center"/>
    </xf>
    <xf numFmtId="21" fontId="5" fillId="0" borderId="1" xfId="0" applyNumberFormat="1" applyFont="1" applyBorder="1">
      <alignment vertical="center"/>
    </xf>
    <xf numFmtId="0" fontId="0" fillId="0" borderId="1" xfId="0" applyBorder="1">
      <alignment vertical="center"/>
    </xf>
    <xf numFmtId="0" fontId="3" fillId="0" borderId="2" xfId="0" applyFont="1" applyFill="1" applyBorder="1">
      <alignment vertical="center"/>
    </xf>
    <xf numFmtId="0" fontId="3" fillId="0" borderId="2" xfId="0" applyFont="1" applyBorder="1">
      <alignment vertical="center"/>
    </xf>
    <xf numFmtId="10" fontId="4" fillId="0" borderId="0" xfId="1" applyNumberFormat="1" applyFont="1" applyBorder="1" applyProtection="1">
      <alignment vertical="center"/>
    </xf>
  </cellXfs>
  <cellStyles count="4">
    <cellStyle name="百分比" xfId="1" builtinId="5"/>
    <cellStyle name="常规" xfId="0" builtinId="0"/>
    <cellStyle name="常规 2" xfId="2"/>
    <cellStyle name="超链接" xfId="3" builtinId="8"/>
  </cellStyles>
  <dxfs count="2">
    <dxf>
      <font>
        <color rgb="FFFF0000"/>
      </font>
      <fill>
        <patternFill patternType="none">
          <bgColor indexed="65"/>
        </patternFill>
      </fill>
    </dxf>
    <dxf>
      <font>
        <color rgb="FF00B050"/>
      </font>
      <fill>
        <patternFill patternType="none"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2</xdr:row>
          <xdr:rowOff>9525</xdr:rowOff>
        </xdr:from>
        <xdr:to>
          <xdr:col>3</xdr:col>
          <xdr:colOff>180975</xdr:colOff>
          <xdr:row>3</xdr:row>
          <xdr:rowOff>80963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强制刷新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1000125</xdr:colOff>
          <xdr:row>2</xdr:row>
          <xdr:rowOff>4763</xdr:rowOff>
        </xdr:from>
        <xdr:to>
          <xdr:col>1</xdr:col>
          <xdr:colOff>762000</xdr:colOff>
          <xdr:row>3</xdr:row>
          <xdr:rowOff>85725</xdr:rowOff>
        </xdr:to>
        <xdr:sp macro="" textlink="">
          <xdr:nvSpPr>
            <xdr:cNvPr id="1028" name="Toggle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suertang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P24"/>
  <sheetViews>
    <sheetView tabSelected="1" workbookViewId="0">
      <selection activeCell="D8" sqref="D8"/>
    </sheetView>
  </sheetViews>
  <sheetFormatPr defaultRowHeight="15.75"/>
  <cols>
    <col min="1" max="1" width="13.25" customWidth="1"/>
    <col min="2" max="2" width="10.25" customWidth="1"/>
    <col min="3" max="3" width="9.5" bestFit="1" customWidth="1"/>
    <col min="4" max="4" width="9.1875" bestFit="1" customWidth="1"/>
    <col min="5" max="5" width="9.8125" bestFit="1" customWidth="1"/>
    <col min="6" max="6" width="9.25" bestFit="1" customWidth="1"/>
    <col min="7" max="8" width="9.0625" bestFit="1" customWidth="1"/>
    <col min="14" max="14" width="19.5" customWidth="1"/>
  </cols>
  <sheetData>
    <row r="2" spans="2:16" ht="16.149999999999999">
      <c r="E2" s="3" t="s">
        <v>13</v>
      </c>
    </row>
    <row r="3" spans="2:16" ht="16.149999999999999">
      <c r="F3" s="3" t="s">
        <v>12</v>
      </c>
      <c r="G3" s="4" t="s">
        <v>14</v>
      </c>
    </row>
    <row r="5" spans="2:16" ht="16.149999999999999">
      <c r="B5" s="1" t="s">
        <v>7</v>
      </c>
      <c r="C5" s="1" t="s">
        <v>8</v>
      </c>
      <c r="D5" s="1" t="s">
        <v>0</v>
      </c>
      <c r="E5" s="1" t="s">
        <v>1</v>
      </c>
      <c r="F5" s="2" t="s">
        <v>4</v>
      </c>
      <c r="G5" s="2" t="s">
        <v>5</v>
      </c>
      <c r="H5" s="2" t="s">
        <v>6</v>
      </c>
      <c r="I5" s="1" t="s">
        <v>2</v>
      </c>
      <c r="J5" s="1" t="s">
        <v>3</v>
      </c>
      <c r="K5" s="12" t="s">
        <v>33</v>
      </c>
      <c r="L5" s="11" t="s">
        <v>28</v>
      </c>
      <c r="M5" s="11" t="s">
        <v>29</v>
      </c>
      <c r="N5" s="11" t="s">
        <v>30</v>
      </c>
      <c r="O5" s="11" t="s">
        <v>32</v>
      </c>
      <c r="P5" s="11" t="s">
        <v>31</v>
      </c>
    </row>
    <row r="6" spans="2:16" ht="16.899999999999999">
      <c r="B6" s="7" t="s">
        <v>9</v>
      </c>
      <c r="C6" s="8" t="s">
        <v>15</v>
      </c>
      <c r="D6" s="8">
        <v>2988.7829000000002</v>
      </c>
      <c r="E6" s="8">
        <v>2978.1178</v>
      </c>
      <c r="F6" s="9">
        <v>0.45217592592592593</v>
      </c>
      <c r="G6" s="8">
        <v>2991.6210000000001</v>
      </c>
      <c r="H6" s="8">
        <v>2982.4002999999998</v>
      </c>
      <c r="I6" s="5">
        <f t="shared" ref="I6:I15" si="0">IF(D6,D6-E6,"")</f>
        <v>10.665100000000166</v>
      </c>
      <c r="J6" s="6">
        <f t="shared" ref="J6:J15" si="1">IF(D6,I6/E6,"")</f>
        <v>3.5811545130955418E-3</v>
      </c>
      <c r="K6" s="13">
        <f t="shared" ref="K6:K14" si="2">(G6-H6)/E6*100%</f>
        <v>3.0961501925814709E-3</v>
      </c>
    </row>
    <row r="7" spans="2:16" ht="16.899999999999999">
      <c r="B7" s="7" t="s">
        <v>10</v>
      </c>
      <c r="C7" s="8" t="s">
        <v>16</v>
      </c>
      <c r="D7" s="8">
        <v>9731.0509999999995</v>
      </c>
      <c r="E7" s="8">
        <v>9722.7980000000007</v>
      </c>
      <c r="F7" s="9">
        <v>0.45222222222222225</v>
      </c>
      <c r="G7" s="8">
        <v>9767.9220000000005</v>
      </c>
      <c r="H7" s="8">
        <v>9701.6380000000008</v>
      </c>
      <c r="I7" s="5">
        <f t="shared" si="0"/>
        <v>8.2529999999987922</v>
      </c>
      <c r="J7" s="6">
        <f t="shared" si="1"/>
        <v>8.4882972987804456E-4</v>
      </c>
      <c r="K7" s="13">
        <f t="shared" si="2"/>
        <v>6.8173791124735541E-3</v>
      </c>
    </row>
    <row r="8" spans="2:16" ht="16.899999999999999">
      <c r="B8" s="7" t="s">
        <v>18</v>
      </c>
      <c r="C8" s="8" t="s">
        <v>20</v>
      </c>
      <c r="D8" s="8">
        <v>3.008</v>
      </c>
      <c r="E8" s="8">
        <v>2.9870000000000001</v>
      </c>
      <c r="F8" s="9">
        <v>0.45219907407407406</v>
      </c>
      <c r="G8" s="8">
        <v>3.0110000000000001</v>
      </c>
      <c r="H8" s="8">
        <v>2.9929999999999999</v>
      </c>
      <c r="I8" s="5">
        <f t="shared" si="0"/>
        <v>2.0999999999999908E-2</v>
      </c>
      <c r="J8" s="6">
        <f t="shared" si="1"/>
        <v>7.0304653498493158E-3</v>
      </c>
      <c r="K8" s="13">
        <f t="shared" si="2"/>
        <v>6.0261131570138052E-3</v>
      </c>
    </row>
    <row r="9" spans="2:16" ht="16.899999999999999">
      <c r="B9" s="7" t="s">
        <v>19</v>
      </c>
      <c r="C9" s="8" t="s">
        <v>21</v>
      </c>
      <c r="D9" s="8">
        <v>0.99199999999999999</v>
      </c>
      <c r="E9" s="8">
        <v>0.99299999999999999</v>
      </c>
      <c r="F9" s="9">
        <v>0.45219907407407406</v>
      </c>
      <c r="G9" s="8">
        <v>0.998</v>
      </c>
      <c r="H9" s="8">
        <v>0.98799999999999999</v>
      </c>
      <c r="I9" s="5">
        <f t="shared" si="0"/>
        <v>-1.0000000000000009E-3</v>
      </c>
      <c r="J9" s="6">
        <f t="shared" si="1"/>
        <v>-1.0070493454179263E-3</v>
      </c>
      <c r="K9" s="13">
        <f t="shared" si="2"/>
        <v>1.0070493454179263E-2</v>
      </c>
    </row>
    <row r="10" spans="2:16" ht="16.899999999999999">
      <c r="B10" s="7" t="s">
        <v>11</v>
      </c>
      <c r="C10" s="8" t="s">
        <v>17</v>
      </c>
      <c r="D10" s="8">
        <v>4.76</v>
      </c>
      <c r="E10" s="8">
        <v>4.8099999999999996</v>
      </c>
      <c r="F10" s="9">
        <v>0.45218749999999996</v>
      </c>
      <c r="G10" s="8">
        <v>4.84</v>
      </c>
      <c r="H10" s="8">
        <v>4.75</v>
      </c>
      <c r="I10" s="5">
        <f t="shared" si="0"/>
        <v>-4.9999999999999822E-2</v>
      </c>
      <c r="J10" s="6">
        <f t="shared" si="1"/>
        <v>-1.0395010395010359E-2</v>
      </c>
      <c r="K10" s="13">
        <f t="shared" si="2"/>
        <v>1.8711018711018684E-2</v>
      </c>
    </row>
    <row r="11" spans="2:16" ht="16.899999999999999">
      <c r="B11" s="7" t="s">
        <v>22</v>
      </c>
      <c r="C11" s="8" t="s">
        <v>24</v>
      </c>
      <c r="D11" s="8">
        <v>9.8699999999999992</v>
      </c>
      <c r="E11" s="8">
        <v>9.89</v>
      </c>
      <c r="F11" s="9">
        <v>0.45222222222222225</v>
      </c>
      <c r="G11" s="8">
        <v>9.9600000000000009</v>
      </c>
      <c r="H11" s="8">
        <v>9.7899999999999991</v>
      </c>
      <c r="I11" s="5">
        <f t="shared" si="0"/>
        <v>-2.000000000000135E-2</v>
      </c>
      <c r="J11" s="6">
        <f t="shared" si="1"/>
        <v>-2.0222446916078208E-3</v>
      </c>
      <c r="K11" s="13">
        <f t="shared" si="2"/>
        <v>1.7189079878665491E-2</v>
      </c>
      <c r="L11">
        <v>800</v>
      </c>
      <c r="M11">
        <v>10.044</v>
      </c>
      <c r="N11">
        <f>(D11-M11)*L11*105%</f>
        <v>-146.16000000000108</v>
      </c>
    </row>
    <row r="12" spans="2:16" ht="16.899999999999999">
      <c r="B12" s="7" t="s">
        <v>23</v>
      </c>
      <c r="C12" s="8" t="s">
        <v>25</v>
      </c>
      <c r="D12" s="8">
        <v>26.19</v>
      </c>
      <c r="E12" s="8">
        <v>26.7</v>
      </c>
      <c r="F12" s="9">
        <v>0.45222222222222225</v>
      </c>
      <c r="G12" s="8">
        <v>26.77</v>
      </c>
      <c r="H12" s="8">
        <v>25.7</v>
      </c>
      <c r="I12" s="5">
        <f t="shared" si="0"/>
        <v>-0.50999999999999801</v>
      </c>
      <c r="J12" s="6">
        <f t="shared" si="1"/>
        <v>-1.9101123595505545E-2</v>
      </c>
      <c r="K12" s="13">
        <f t="shared" si="2"/>
        <v>4.007490636704121E-2</v>
      </c>
      <c r="L12">
        <v>700</v>
      </c>
      <c r="M12">
        <v>25.45</v>
      </c>
      <c r="N12">
        <f>(D12-M12)*L12*95%</f>
        <v>492.10000000000127</v>
      </c>
      <c r="O12">
        <v>27.49</v>
      </c>
      <c r="P12" t="str">
        <f>IF(G12&gt;O12,"已成交","未成交")</f>
        <v>未成交</v>
      </c>
    </row>
    <row r="13" spans="2:16" ht="16.899999999999999">
      <c r="B13" s="7" t="s">
        <v>26</v>
      </c>
      <c r="C13" s="8" t="s">
        <v>27</v>
      </c>
      <c r="D13" s="8">
        <v>17.32</v>
      </c>
      <c r="E13" s="8">
        <v>16.8</v>
      </c>
      <c r="F13" s="9">
        <v>0.45222222222222225</v>
      </c>
      <c r="G13" s="8">
        <v>17.54</v>
      </c>
      <c r="H13" s="8">
        <v>16.8</v>
      </c>
      <c r="I13" s="5">
        <f t="shared" si="0"/>
        <v>0.51999999999999957</v>
      </c>
      <c r="J13" s="6">
        <f t="shared" si="1"/>
        <v>3.0952380952380926E-2</v>
      </c>
      <c r="K13" s="13">
        <f t="shared" si="2"/>
        <v>4.4047619047618954E-2</v>
      </c>
    </row>
    <row r="14" spans="2:16" ht="16.899999999999999">
      <c r="B14" s="7" t="s">
        <v>34</v>
      </c>
      <c r="C14" s="8" t="s">
        <v>35</v>
      </c>
      <c r="D14" s="8">
        <v>20.04</v>
      </c>
      <c r="E14" s="8">
        <v>21.11</v>
      </c>
      <c r="F14" s="9">
        <v>0.45222222222222225</v>
      </c>
      <c r="G14" s="8">
        <v>21.29</v>
      </c>
      <c r="H14" s="8">
        <v>19.850000000000001</v>
      </c>
      <c r="I14" s="5">
        <f t="shared" si="0"/>
        <v>-1.0700000000000003</v>
      </c>
      <c r="J14" s="6">
        <f t="shared" si="1"/>
        <v>-5.0686878256750369E-2</v>
      </c>
      <c r="K14" s="13">
        <f t="shared" si="2"/>
        <v>6.8214116532448965E-2</v>
      </c>
    </row>
    <row r="15" spans="2:16" ht="16.899999999999999">
      <c r="B15" s="7"/>
      <c r="C15" s="8"/>
      <c r="D15" s="8"/>
      <c r="E15" s="8"/>
      <c r="F15" s="9"/>
      <c r="G15" s="8"/>
      <c r="H15" s="8"/>
      <c r="I15" s="5" t="str">
        <f t="shared" si="0"/>
        <v/>
      </c>
      <c r="J15" s="6" t="str">
        <f t="shared" si="1"/>
        <v/>
      </c>
      <c r="K15" s="13"/>
    </row>
    <row r="16" spans="2:16" ht="16.899999999999999">
      <c r="B16" s="7"/>
      <c r="C16" s="8"/>
      <c r="D16" s="8"/>
      <c r="E16" s="8"/>
      <c r="F16" s="9"/>
      <c r="G16" s="8"/>
      <c r="H16" s="8"/>
      <c r="I16" s="5" t="str">
        <f t="shared" ref="I16:I24" si="3">IF(D16,D16-E16,"")</f>
        <v/>
      </c>
      <c r="J16" s="6" t="str">
        <f t="shared" ref="J16:J24" si="4">IF(D16,I16/E16,"")</f>
        <v/>
      </c>
      <c r="K16" s="13"/>
    </row>
    <row r="17" spans="2:11" ht="16.899999999999999">
      <c r="B17" s="7"/>
      <c r="C17" s="10"/>
      <c r="D17" s="10"/>
      <c r="E17" s="10"/>
      <c r="F17" s="10"/>
      <c r="G17" s="10"/>
      <c r="H17" s="10"/>
      <c r="I17" s="5" t="str">
        <f t="shared" si="3"/>
        <v/>
      </c>
      <c r="J17" s="6" t="str">
        <f t="shared" si="4"/>
        <v/>
      </c>
      <c r="K17" s="13"/>
    </row>
    <row r="18" spans="2:11" ht="16.899999999999999">
      <c r="B18" s="7"/>
      <c r="C18" s="10"/>
      <c r="D18" s="10"/>
      <c r="E18" s="10"/>
      <c r="F18" s="10"/>
      <c r="G18" s="10"/>
      <c r="H18" s="10"/>
      <c r="I18" s="5" t="str">
        <f t="shared" si="3"/>
        <v/>
      </c>
      <c r="J18" s="6" t="str">
        <f t="shared" si="4"/>
        <v/>
      </c>
      <c r="K18" s="13"/>
    </row>
    <row r="19" spans="2:11" ht="16.899999999999999">
      <c r="B19" s="7"/>
      <c r="C19" s="10"/>
      <c r="D19" s="10"/>
      <c r="E19" s="10"/>
      <c r="F19" s="10"/>
      <c r="G19" s="10"/>
      <c r="H19" s="10"/>
      <c r="I19" s="5" t="str">
        <f t="shared" si="3"/>
        <v/>
      </c>
      <c r="J19" s="6" t="str">
        <f t="shared" si="4"/>
        <v/>
      </c>
      <c r="K19" s="13"/>
    </row>
    <row r="20" spans="2:11" ht="16.899999999999999">
      <c r="B20" s="7"/>
      <c r="C20" s="10"/>
      <c r="D20" s="10"/>
      <c r="E20" s="10"/>
      <c r="F20" s="10"/>
      <c r="G20" s="10"/>
      <c r="H20" s="10"/>
      <c r="I20" s="5" t="str">
        <f t="shared" si="3"/>
        <v/>
      </c>
      <c r="J20" s="6" t="str">
        <f t="shared" si="4"/>
        <v/>
      </c>
      <c r="K20" s="13"/>
    </row>
    <row r="21" spans="2:11" ht="16.899999999999999">
      <c r="B21" s="7"/>
      <c r="C21" s="10"/>
      <c r="D21" s="10"/>
      <c r="E21" s="10"/>
      <c r="F21" s="10"/>
      <c r="G21" s="10"/>
      <c r="H21" s="10"/>
      <c r="I21" s="5" t="str">
        <f t="shared" si="3"/>
        <v/>
      </c>
      <c r="J21" s="6" t="str">
        <f t="shared" si="4"/>
        <v/>
      </c>
      <c r="K21" s="13"/>
    </row>
    <row r="22" spans="2:11" ht="16.899999999999999">
      <c r="B22" s="7"/>
      <c r="C22" s="10"/>
      <c r="D22" s="10"/>
      <c r="E22" s="10"/>
      <c r="F22" s="10"/>
      <c r="G22" s="10"/>
      <c r="H22" s="10"/>
      <c r="I22" s="5" t="str">
        <f t="shared" si="3"/>
        <v/>
      </c>
      <c r="J22" s="6" t="str">
        <f t="shared" si="4"/>
        <v/>
      </c>
      <c r="K22" s="13"/>
    </row>
    <row r="23" spans="2:11" ht="16.899999999999999">
      <c r="B23" s="7"/>
      <c r="C23" s="10"/>
      <c r="D23" s="10"/>
      <c r="E23" s="10"/>
      <c r="F23" s="10"/>
      <c r="G23" s="10"/>
      <c r="H23" s="10"/>
      <c r="I23" s="5" t="str">
        <f t="shared" si="3"/>
        <v/>
      </c>
      <c r="J23" s="6" t="str">
        <f t="shared" si="4"/>
        <v/>
      </c>
      <c r="K23" s="13"/>
    </row>
    <row r="24" spans="2:11" ht="16.899999999999999">
      <c r="B24" s="7"/>
      <c r="C24" s="10"/>
      <c r="D24" s="10"/>
      <c r="E24" s="10"/>
      <c r="F24" s="10"/>
      <c r="G24" s="10"/>
      <c r="H24" s="10"/>
      <c r="I24" s="5" t="str">
        <f t="shared" si="3"/>
        <v/>
      </c>
      <c r="J24" s="6" t="str">
        <f t="shared" si="4"/>
        <v/>
      </c>
      <c r="K24" s="13"/>
    </row>
  </sheetData>
  <sheetProtection selectLockedCells="1"/>
  <phoneticPr fontId="1" type="noConversion"/>
  <conditionalFormatting sqref="I6:J24">
    <cfRule type="expression" dxfId="1" priority="9" stopIfTrue="1">
      <formula>$I6&lt;0</formula>
    </cfRule>
    <cfRule type="expression" dxfId="0" priority="10" stopIfTrue="1">
      <formula>$I6&gt;0</formula>
    </cfRule>
  </conditionalFormatting>
  <hyperlinks>
    <hyperlink ref="G3" r:id="rId1"/>
  </hyperlinks>
  <pageMargins left="0.75" right="0.75" top="1" bottom="1" header="0.5" footer="0.5"/>
  <pageSetup paperSize="9"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028" r:id="rId5" name="ToggleButton1">
          <controlPr defaultSize="0" autoLine="0" r:id="rId6">
            <anchor moveWithCells="1">
              <from>
                <xdr:col>0</xdr:col>
                <xdr:colOff>1000125</xdr:colOff>
                <xdr:row>2</xdr:row>
                <xdr:rowOff>4763</xdr:rowOff>
              </from>
              <to>
                <xdr:col>1</xdr:col>
                <xdr:colOff>762000</xdr:colOff>
                <xdr:row>3</xdr:row>
                <xdr:rowOff>85725</xdr:rowOff>
              </to>
            </anchor>
          </controlPr>
        </control>
      </mc:Choice>
      <mc:Fallback>
        <control shapeId="1028" r:id="rId5" name="ToggleButton1"/>
      </mc:Fallback>
    </mc:AlternateContent>
    <mc:AlternateContent xmlns:mc="http://schemas.openxmlformats.org/markup-compatibility/2006">
      <mc:Choice Requires="x14">
        <control shapeId="1027" r:id="rId7" name="Button 3">
          <controlPr defaultSize="0" print="0" autoFill="0" autoPict="0" macro="[0]!geturl">
            <anchor moveWithCells="1" sizeWithCells="1">
              <from>
                <xdr:col>2</xdr:col>
                <xdr:colOff>104775</xdr:colOff>
                <xdr:row>2</xdr:row>
                <xdr:rowOff>9525</xdr:rowOff>
              </from>
              <to>
                <xdr:col>3</xdr:col>
                <xdr:colOff>180975</xdr:colOff>
                <xdr:row>3</xdr:row>
                <xdr:rowOff>80963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VBA</vt:lpstr>
    </vt:vector>
  </TitlesOfParts>
  <Manager/>
  <Company>MC SYSTEM</Company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Tang Zhongji</dc:creator>
  <cp:keywords/>
  <dc:description/>
  <cp:lastModifiedBy>唐仲基</cp:lastModifiedBy>
  <cp:revision/>
  <cp:lastPrinted>2017-07-14T08:04:40Z</cp:lastPrinted>
  <dcterms:created xsi:type="dcterms:W3CDTF">2014-01-08T04:11:53Z</dcterms:created>
  <dcterms:modified xsi:type="dcterms:W3CDTF">2019-10-17T19:53:32Z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2052-10.1.0.6028</vt:lpwstr>
  </property>
</Properties>
</file>